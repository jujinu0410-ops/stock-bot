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E" sheetId="1" state="visible" r:id="rId1"/>
    <sheet xmlns:r="http://schemas.openxmlformats.org/officeDocument/2006/relationships" name="LIVE_RAD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  <col width="12" customWidth="1" min="4" max="4"/>
    <col width="22" customWidth="1" min="5" max="5"/>
    <col width="18" customWidth="1" min="6" max="6"/>
  </cols>
  <sheetData>
    <row r="1">
      <c r="A1" s="1" t="inlineStr">
        <is>
          <t>Active</t>
        </is>
      </c>
      <c r="B1" s="1" t="inlineStr">
        <is>
          <t>종목명</t>
        </is>
      </c>
      <c r="C1" s="1" t="inlineStr">
        <is>
          <t>시장</t>
        </is>
      </c>
      <c r="D1" s="1" t="inlineStr">
        <is>
          <t>종목코드</t>
        </is>
      </c>
      <c r="E1" s="1" t="inlineStr">
        <is>
          <t>GoogleFinance Ticker</t>
        </is>
      </c>
      <c r="F1" s="1" t="inlineStr">
        <is>
          <t>산업/섹터</t>
        </is>
      </c>
    </row>
    <row r="2">
      <c r="A2" s="2" t="b">
        <v>1</v>
      </c>
      <c r="B2" s="3" t="inlineStr">
        <is>
          <t>삼성전자</t>
        </is>
      </c>
      <c r="C2" s="2" t="inlineStr">
        <is>
          <t>KOSPI</t>
        </is>
      </c>
      <c r="D2" s="2" t="inlineStr">
        <is>
          <t>005930</t>
        </is>
      </c>
      <c r="E2" s="2" t="inlineStr">
        <is>
          <t>KRX:005930</t>
        </is>
      </c>
      <c r="F2" s="3" t="inlineStr">
        <is>
          <t>전기전자</t>
        </is>
      </c>
    </row>
    <row r="3">
      <c r="A3" s="2" t="b">
        <v>1</v>
      </c>
      <c r="B3" s="3" t="inlineStr">
        <is>
          <t>SK하이닉스</t>
        </is>
      </c>
      <c r="C3" s="2" t="inlineStr">
        <is>
          <t>KOSPI</t>
        </is>
      </c>
      <c r="D3" s="2" t="inlineStr">
        <is>
          <t>000660</t>
        </is>
      </c>
      <c r="E3" s="2" t="inlineStr">
        <is>
          <t>KRX:000660</t>
        </is>
      </c>
      <c r="F3" s="3" t="inlineStr">
        <is>
          <t>전기전자</t>
        </is>
      </c>
    </row>
    <row r="4">
      <c r="A4" s="2" t="b">
        <v>1</v>
      </c>
      <c r="B4" s="3" t="inlineStr">
        <is>
          <t>LG에너지솔루션</t>
        </is>
      </c>
      <c r="C4" s="2" t="inlineStr">
        <is>
          <t>KOSPI</t>
        </is>
      </c>
      <c r="D4" s="2" t="inlineStr">
        <is>
          <t>373220</t>
        </is>
      </c>
      <c r="E4" s="2" t="inlineStr">
        <is>
          <t>KRX:373220</t>
        </is>
      </c>
      <c r="F4" s="3" t="inlineStr">
        <is>
          <t>전기전자</t>
        </is>
      </c>
    </row>
    <row r="5">
      <c r="A5" s="2" t="b">
        <v>1</v>
      </c>
      <c r="B5" s="3" t="inlineStr">
        <is>
          <t>삼성바이오로직스</t>
        </is>
      </c>
      <c r="C5" s="2" t="inlineStr">
        <is>
          <t>KOSPI</t>
        </is>
      </c>
      <c r="D5" s="2" t="inlineStr">
        <is>
          <t>207940</t>
        </is>
      </c>
      <c r="E5" s="2" t="inlineStr">
        <is>
          <t>KRX:207940</t>
        </is>
      </c>
      <c r="F5" s="3" t="inlineStr">
        <is>
          <t>의약품</t>
        </is>
      </c>
    </row>
    <row r="6">
      <c r="A6" s="2" t="b">
        <v>1</v>
      </c>
      <c r="B6" s="3" t="inlineStr">
        <is>
          <t>현대차</t>
        </is>
      </c>
      <c r="C6" s="2" t="inlineStr">
        <is>
          <t>KOSPI</t>
        </is>
      </c>
      <c r="D6" s="2" t="inlineStr">
        <is>
          <t>005380</t>
        </is>
      </c>
      <c r="E6" s="2" t="inlineStr">
        <is>
          <t>KRX:005380</t>
        </is>
      </c>
      <c r="F6" s="3" t="inlineStr">
        <is>
          <t>운수장비</t>
        </is>
      </c>
    </row>
    <row r="7">
      <c r="A7" s="2" t="b">
        <v>1</v>
      </c>
      <c r="B7" s="3" t="inlineStr">
        <is>
          <t>기아</t>
        </is>
      </c>
      <c r="C7" s="2" t="inlineStr">
        <is>
          <t>KOSPI</t>
        </is>
      </c>
      <c r="D7" s="2" t="inlineStr">
        <is>
          <t>000270</t>
        </is>
      </c>
      <c r="E7" s="2" t="inlineStr">
        <is>
          <t>KRX:000270</t>
        </is>
      </c>
      <c r="F7" s="3" t="inlineStr">
        <is>
          <t>운수장비</t>
        </is>
      </c>
    </row>
    <row r="8">
      <c r="A8" s="2" t="b">
        <v>1</v>
      </c>
      <c r="B8" s="3" t="inlineStr">
        <is>
          <t>셀트리온</t>
        </is>
      </c>
      <c r="C8" s="2" t="inlineStr">
        <is>
          <t>KOSPI</t>
        </is>
      </c>
      <c r="D8" s="2" t="inlineStr">
        <is>
          <t>068270</t>
        </is>
      </c>
      <c r="E8" s="2" t="inlineStr">
        <is>
          <t>KRX:068270</t>
        </is>
      </c>
      <c r="F8" s="3" t="inlineStr">
        <is>
          <t>의약품</t>
        </is>
      </c>
    </row>
    <row r="9">
      <c r="A9" s="2" t="b">
        <v>1</v>
      </c>
      <c r="B9" s="3" t="inlineStr">
        <is>
          <t>KB금융</t>
        </is>
      </c>
      <c r="C9" s="2" t="inlineStr">
        <is>
          <t>KOSPI</t>
        </is>
      </c>
      <c r="D9" s="2" t="inlineStr">
        <is>
          <t>105560</t>
        </is>
      </c>
      <c r="E9" s="2" t="inlineStr">
        <is>
          <t>KRX:105560</t>
        </is>
      </c>
      <c r="F9" s="3" t="inlineStr">
        <is>
          <t>금융업</t>
        </is>
      </c>
    </row>
    <row r="10">
      <c r="A10" s="2" t="b">
        <v>1</v>
      </c>
      <c r="B10" s="3" t="inlineStr">
        <is>
          <t>POSCO홀딩스</t>
        </is>
      </c>
      <c r="C10" s="2" t="inlineStr">
        <is>
          <t>KOSPI</t>
        </is>
      </c>
      <c r="D10" s="2" t="inlineStr">
        <is>
          <t>005490</t>
        </is>
      </c>
      <c r="E10" s="2" t="inlineStr">
        <is>
          <t>KRX:005490</t>
        </is>
      </c>
      <c r="F10" s="3" t="inlineStr">
        <is>
          <t>철강금속</t>
        </is>
      </c>
    </row>
    <row r="11">
      <c r="A11" s="2" t="b">
        <v>1</v>
      </c>
      <c r="B11" s="3" t="inlineStr">
        <is>
          <t>NAVER</t>
        </is>
      </c>
      <c r="C11" s="2" t="inlineStr">
        <is>
          <t>KOSPI</t>
        </is>
      </c>
      <c r="D11" s="2" t="inlineStr">
        <is>
          <t>035420</t>
        </is>
      </c>
      <c r="E11" s="2" t="inlineStr">
        <is>
          <t>KRX:035420</t>
        </is>
      </c>
      <c r="F11" s="3" t="inlineStr">
        <is>
          <t>서비스업</t>
        </is>
      </c>
    </row>
    <row r="12">
      <c r="A12" s="2" t="b">
        <v>1</v>
      </c>
      <c r="B12" s="3" t="inlineStr">
        <is>
          <t>신한지주</t>
        </is>
      </c>
      <c r="C12" s="2" t="inlineStr">
        <is>
          <t>KOSPI</t>
        </is>
      </c>
      <c r="D12" s="2" t="inlineStr">
        <is>
          <t>055550</t>
        </is>
      </c>
      <c r="E12" s="2" t="inlineStr">
        <is>
          <t>KRX:055550</t>
        </is>
      </c>
      <c r="F12" s="3" t="inlineStr">
        <is>
          <t>금융업</t>
        </is>
      </c>
    </row>
    <row r="13">
      <c r="A13" s="2" t="b">
        <v>1</v>
      </c>
      <c r="B13" s="3" t="inlineStr">
        <is>
          <t>HD현대중공업</t>
        </is>
      </c>
      <c r="C13" s="2" t="inlineStr">
        <is>
          <t>KOSPI</t>
        </is>
      </c>
      <c r="D13" s="2" t="inlineStr">
        <is>
          <t>329180</t>
        </is>
      </c>
      <c r="E13" s="2" t="inlineStr">
        <is>
          <t>KRX:329180</t>
        </is>
      </c>
      <c r="F13" s="3" t="inlineStr">
        <is>
          <t>운수장비</t>
        </is>
      </c>
    </row>
    <row r="14">
      <c r="A14" s="2" t="b">
        <v>1</v>
      </c>
      <c r="B14" s="3" t="inlineStr">
        <is>
          <t>삼성물산</t>
        </is>
      </c>
      <c r="C14" s="2" t="inlineStr">
        <is>
          <t>KOSPI</t>
        </is>
      </c>
      <c r="D14" s="2" t="inlineStr">
        <is>
          <t>028260</t>
        </is>
      </c>
      <c r="E14" s="2" t="inlineStr">
        <is>
          <t>KRX:028260</t>
        </is>
      </c>
      <c r="F14" s="3" t="inlineStr">
        <is>
          <t>유통업</t>
        </is>
      </c>
    </row>
    <row r="15">
      <c r="A15" s="2" t="b">
        <v>1</v>
      </c>
      <c r="B15" s="3" t="inlineStr">
        <is>
          <t>현대모비스</t>
        </is>
      </c>
      <c r="C15" s="2" t="inlineStr">
        <is>
          <t>KOSPI</t>
        </is>
      </c>
      <c r="D15" s="2" t="inlineStr">
        <is>
          <t>012330</t>
        </is>
      </c>
      <c r="E15" s="2" t="inlineStr">
        <is>
          <t>KRX:012330</t>
        </is>
      </c>
      <c r="F15" s="3" t="inlineStr">
        <is>
          <t>운수장비</t>
        </is>
      </c>
    </row>
    <row r="16">
      <c r="A16" s="2" t="b">
        <v>1</v>
      </c>
      <c r="B16" s="3" t="inlineStr">
        <is>
          <t>하나금융지주</t>
        </is>
      </c>
      <c r="C16" s="2" t="inlineStr">
        <is>
          <t>KOSPI</t>
        </is>
      </c>
      <c r="D16" s="2" t="inlineStr">
        <is>
          <t>086790</t>
        </is>
      </c>
      <c r="E16" s="2" t="inlineStr">
        <is>
          <t>KRX:086790</t>
        </is>
      </c>
      <c r="F16" s="3" t="inlineStr">
        <is>
          <t>금융업</t>
        </is>
      </c>
    </row>
    <row r="17">
      <c r="A17" s="2" t="b">
        <v>1</v>
      </c>
      <c r="B17" s="3" t="inlineStr">
        <is>
          <t>LG화학</t>
        </is>
      </c>
      <c r="C17" s="2" t="inlineStr">
        <is>
          <t>KOSPI</t>
        </is>
      </c>
      <c r="D17" s="2" t="inlineStr">
        <is>
          <t>051910</t>
        </is>
      </c>
      <c r="E17" s="2" t="inlineStr">
        <is>
          <t>KRX:051910</t>
        </is>
      </c>
      <c r="F17" s="3" t="inlineStr">
        <is>
          <t>화학</t>
        </is>
      </c>
    </row>
    <row r="18">
      <c r="A18" s="2" t="b">
        <v>1</v>
      </c>
      <c r="B18" s="3" t="inlineStr">
        <is>
          <t>삼성SDI</t>
        </is>
      </c>
      <c r="C18" s="2" t="inlineStr">
        <is>
          <t>KOSPI</t>
        </is>
      </c>
      <c r="D18" s="2" t="inlineStr">
        <is>
          <t>006400</t>
        </is>
      </c>
      <c r="E18" s="2" t="inlineStr">
        <is>
          <t>KRX:006400</t>
        </is>
      </c>
      <c r="F18" s="3" t="inlineStr">
        <is>
          <t>전기전자</t>
        </is>
      </c>
    </row>
    <row r="19">
      <c r="A19" s="2" t="b">
        <v>1</v>
      </c>
      <c r="B19" s="3" t="inlineStr">
        <is>
          <t>메리츠금융지주</t>
        </is>
      </c>
      <c r="C19" s="2" t="inlineStr">
        <is>
          <t>KOSPI</t>
        </is>
      </c>
      <c r="D19" s="2" t="inlineStr">
        <is>
          <t>138040</t>
        </is>
      </c>
      <c r="E19" s="2" t="inlineStr">
        <is>
          <t>KRX:138040</t>
        </is>
      </c>
      <c r="F19" s="3" t="inlineStr">
        <is>
          <t>금융업</t>
        </is>
      </c>
    </row>
    <row r="20">
      <c r="A20" s="2" t="b">
        <v>1</v>
      </c>
      <c r="B20" s="3" t="inlineStr">
        <is>
          <t>카카오</t>
        </is>
      </c>
      <c r="C20" s="2" t="inlineStr">
        <is>
          <t>KOSPI</t>
        </is>
      </c>
      <c r="D20" s="2" t="inlineStr">
        <is>
          <t>035720</t>
        </is>
      </c>
      <c r="E20" s="2" t="inlineStr">
        <is>
          <t>KRX:035720</t>
        </is>
      </c>
      <c r="F20" s="3" t="inlineStr">
        <is>
          <t>서비스업</t>
        </is>
      </c>
    </row>
    <row r="21">
      <c r="A21" s="2" t="b">
        <v>1</v>
      </c>
      <c r="B21" s="3" t="inlineStr">
        <is>
          <t>한화에어로스페이스</t>
        </is>
      </c>
      <c r="C21" s="2" t="inlineStr">
        <is>
          <t>KOSPI</t>
        </is>
      </c>
      <c r="D21" s="2" t="inlineStr">
        <is>
          <t>012450</t>
        </is>
      </c>
      <c r="E21" s="2" t="inlineStr">
        <is>
          <t>KRX:012450</t>
        </is>
      </c>
      <c r="F21" s="3" t="inlineStr">
        <is>
          <t>운수장비</t>
        </is>
      </c>
    </row>
    <row r="22">
      <c r="A22" s="2" t="b">
        <v>1</v>
      </c>
      <c r="B22" s="3" t="inlineStr">
        <is>
          <t>크래프톤</t>
        </is>
      </c>
      <c r="C22" s="2" t="inlineStr">
        <is>
          <t>KOSPI</t>
        </is>
      </c>
      <c r="D22" s="2" t="inlineStr">
        <is>
          <t>259960</t>
        </is>
      </c>
      <c r="E22" s="2" t="inlineStr">
        <is>
          <t>KRX:259960</t>
        </is>
      </c>
      <c r="F22" s="3" t="inlineStr">
        <is>
          <t>서비스업</t>
        </is>
      </c>
    </row>
    <row r="23">
      <c r="A23" s="2" t="b">
        <v>1</v>
      </c>
      <c r="B23" s="3" t="inlineStr">
        <is>
          <t>HMM</t>
        </is>
      </c>
      <c r="C23" s="2" t="inlineStr">
        <is>
          <t>KOSPI</t>
        </is>
      </c>
      <c r="D23" s="2" t="inlineStr">
        <is>
          <t>011200</t>
        </is>
      </c>
      <c r="E23" s="2" t="inlineStr">
        <is>
          <t>KRX:011200</t>
        </is>
      </c>
      <c r="F23" s="3" t="inlineStr">
        <is>
          <t>운수창고업</t>
        </is>
      </c>
    </row>
    <row r="24">
      <c r="A24" s="2" t="b">
        <v>1</v>
      </c>
      <c r="B24" s="3" t="inlineStr">
        <is>
          <t>한국전력</t>
        </is>
      </c>
      <c r="C24" s="2" t="inlineStr">
        <is>
          <t>KOSPI</t>
        </is>
      </c>
      <c r="D24" s="2" t="inlineStr">
        <is>
          <t>015760</t>
        </is>
      </c>
      <c r="E24" s="2" t="inlineStr">
        <is>
          <t>KRX:015760</t>
        </is>
      </c>
      <c r="F24" s="3" t="inlineStr">
        <is>
          <t>전기가스업</t>
        </is>
      </c>
    </row>
    <row r="25">
      <c r="A25" s="2" t="b">
        <v>1</v>
      </c>
      <c r="B25" s="3" t="inlineStr">
        <is>
          <t>삼성생명</t>
        </is>
      </c>
      <c r="C25" s="2" t="inlineStr">
        <is>
          <t>KOSPI</t>
        </is>
      </c>
      <c r="D25" s="2" t="inlineStr">
        <is>
          <t>032830</t>
        </is>
      </c>
      <c r="E25" s="2" t="inlineStr">
        <is>
          <t>KRX:032830</t>
        </is>
      </c>
      <c r="F25" s="3" t="inlineStr">
        <is>
          <t>금융업</t>
        </is>
      </c>
    </row>
    <row r="26">
      <c r="A26" s="2" t="b">
        <v>1</v>
      </c>
      <c r="B26" s="3" t="inlineStr">
        <is>
          <t>HD한국조선해양</t>
        </is>
      </c>
      <c r="C26" s="2" t="inlineStr">
        <is>
          <t>KOSPI</t>
        </is>
      </c>
      <c r="D26" s="2" t="inlineStr">
        <is>
          <t>009540</t>
        </is>
      </c>
      <c r="E26" s="2" t="inlineStr">
        <is>
          <t>KRX:009540</t>
        </is>
      </c>
      <c r="F26" s="3" t="inlineStr">
        <is>
          <t>운수장비</t>
        </is>
      </c>
    </row>
    <row r="27">
      <c r="A27" s="2" t="b">
        <v>1</v>
      </c>
      <c r="B27" s="3" t="inlineStr">
        <is>
          <t>KT&amp;G</t>
        </is>
      </c>
      <c r="C27" s="2" t="inlineStr">
        <is>
          <t>KOSPI</t>
        </is>
      </c>
      <c r="D27" s="2" t="inlineStr">
        <is>
          <t>033780</t>
        </is>
      </c>
      <c r="E27" s="2" t="inlineStr">
        <is>
          <t>KRX:033780</t>
        </is>
      </c>
      <c r="F27" s="3" t="inlineStr">
        <is>
          <t>기타제조업</t>
        </is>
      </c>
    </row>
    <row r="28">
      <c r="A28" s="2" t="b">
        <v>1</v>
      </c>
      <c r="B28" s="3" t="inlineStr">
        <is>
          <t>SK이노베이션</t>
        </is>
      </c>
      <c r="C28" s="2" t="inlineStr">
        <is>
          <t>KOSPI</t>
        </is>
      </c>
      <c r="D28" s="2" t="inlineStr">
        <is>
          <t>096770</t>
        </is>
      </c>
      <c r="E28" s="2" t="inlineStr">
        <is>
          <t>KRX:096770</t>
        </is>
      </c>
      <c r="F28" s="3" t="inlineStr">
        <is>
          <t>화학</t>
        </is>
      </c>
    </row>
    <row r="29">
      <c r="A29" s="2" t="b">
        <v>1</v>
      </c>
      <c r="B29" s="3" t="inlineStr">
        <is>
          <t>LG전자</t>
        </is>
      </c>
      <c r="C29" s="2" t="inlineStr">
        <is>
          <t>KOSPI</t>
        </is>
      </c>
      <c r="D29" s="2" t="inlineStr">
        <is>
          <t>066570</t>
        </is>
      </c>
      <c r="E29" s="2" t="inlineStr">
        <is>
          <t>KRX:066570</t>
        </is>
      </c>
      <c r="F29" s="3" t="inlineStr">
        <is>
          <t>전기전자</t>
        </is>
      </c>
    </row>
    <row r="30">
      <c r="A30" s="2" t="b">
        <v>1</v>
      </c>
      <c r="B30" s="3" t="inlineStr">
        <is>
          <t>SK스퀘어</t>
        </is>
      </c>
      <c r="C30" s="2" t="inlineStr">
        <is>
          <t>KOSPI</t>
        </is>
      </c>
      <c r="D30" s="2" t="inlineStr">
        <is>
          <t>402340</t>
        </is>
      </c>
      <c r="E30" s="2" t="inlineStr">
        <is>
          <t>KRX:402340</t>
        </is>
      </c>
      <c r="F30" s="3" t="inlineStr">
        <is>
          <t>금융업</t>
        </is>
      </c>
    </row>
    <row r="31">
      <c r="A31" s="2" t="b">
        <v>1</v>
      </c>
      <c r="B31" s="3" t="inlineStr">
        <is>
          <t>카카오뱅크</t>
        </is>
      </c>
      <c r="C31" s="2" t="inlineStr">
        <is>
          <t>KOSPI</t>
        </is>
      </c>
      <c r="D31" s="2" t="inlineStr">
        <is>
          <t>323410</t>
        </is>
      </c>
      <c r="E31" s="2" t="inlineStr">
        <is>
          <t>KRX:323410</t>
        </is>
      </c>
      <c r="F31" s="3" t="inlineStr">
        <is>
          <t>금융업</t>
        </is>
      </c>
    </row>
    <row r="32">
      <c r="A32" s="2" t="b">
        <v>1</v>
      </c>
      <c r="B32" s="3" t="inlineStr">
        <is>
          <t>알테오젠</t>
        </is>
      </c>
      <c r="C32" s="2" t="inlineStr">
        <is>
          <t>KOSDAQ</t>
        </is>
      </c>
      <c r="D32" s="2" t="inlineStr">
        <is>
          <t>196170</t>
        </is>
      </c>
      <c r="E32" s="2" t="inlineStr">
        <is>
          <t>KOSDAQ:196170</t>
        </is>
      </c>
      <c r="F32" s="3" t="inlineStr">
        <is>
          <t>제약</t>
        </is>
      </c>
    </row>
    <row r="33">
      <c r="A33" s="2" t="b">
        <v>1</v>
      </c>
      <c r="B33" s="3" t="inlineStr">
        <is>
          <t>에코프로비엠</t>
        </is>
      </c>
      <c r="C33" s="2" t="inlineStr">
        <is>
          <t>KOSDAQ</t>
        </is>
      </c>
      <c r="D33" s="2" t="inlineStr">
        <is>
          <t>247540</t>
        </is>
      </c>
      <c r="E33" s="2" t="inlineStr">
        <is>
          <t>KOSDAQ:247540</t>
        </is>
      </c>
      <c r="F33" s="3" t="inlineStr">
        <is>
          <t>일반전기전자</t>
        </is>
      </c>
    </row>
    <row r="34">
      <c r="A34" s="2" t="b">
        <v>1</v>
      </c>
      <c r="B34" s="3" t="inlineStr">
        <is>
          <t>에코프로</t>
        </is>
      </c>
      <c r="C34" s="2" t="inlineStr">
        <is>
          <t>KOSDAQ</t>
        </is>
      </c>
      <c r="D34" s="2" t="inlineStr">
        <is>
          <t>086520</t>
        </is>
      </c>
      <c r="E34" s="2" t="inlineStr">
        <is>
          <t>KOSDAQ:086520</t>
        </is>
      </c>
      <c r="F34" s="3" t="inlineStr">
        <is>
          <t>금융</t>
        </is>
      </c>
    </row>
    <row r="35">
      <c r="A35" s="2" t="b">
        <v>1</v>
      </c>
      <c r="B35" s="3" t="inlineStr">
        <is>
          <t>HLB</t>
        </is>
      </c>
      <c r="C35" s="2" t="inlineStr">
        <is>
          <t>KOSDAQ</t>
        </is>
      </c>
      <c r="D35" s="2" t="inlineStr">
        <is>
          <t>028300</t>
        </is>
      </c>
      <c r="E35" s="2" t="inlineStr">
        <is>
          <t>KOSDAQ:028300</t>
        </is>
      </c>
      <c r="F35" s="3" t="inlineStr">
        <is>
          <t>운송장비부품</t>
        </is>
      </c>
    </row>
    <row r="36">
      <c r="A36" s="2" t="b">
        <v>1</v>
      </c>
      <c r="B36" s="3" t="inlineStr">
        <is>
          <t>삼천당제약</t>
        </is>
      </c>
      <c r="C36" s="2" t="inlineStr">
        <is>
          <t>KOSDAQ</t>
        </is>
      </c>
      <c r="D36" s="2" t="inlineStr">
        <is>
          <t>000250</t>
        </is>
      </c>
      <c r="E36" s="2" t="inlineStr">
        <is>
          <t>KOSDAQ:000250</t>
        </is>
      </c>
      <c r="F36" s="3" t="inlineStr">
        <is>
          <t>제약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4" customWidth="1" min="3" max="3"/>
    <col width="22" customWidth="1" min="4" max="4"/>
    <col width="14" customWidth="1" min="5" max="5"/>
    <col width="16" customWidth="1" min="6" max="6"/>
    <col width="14" customWidth="1" min="7" max="7"/>
    <col width="16" customWidth="1" min="8" max="8"/>
    <col width="14" customWidth="1" min="9" max="9"/>
  </cols>
  <sheetData>
    <row r="1">
      <c r="A1" s="1" t="inlineStr">
        <is>
          <t>Ticker</t>
        </is>
      </c>
      <c r="B1" s="1" t="inlineStr">
        <is>
          <t>종목명</t>
        </is>
      </c>
      <c r="C1" s="1" t="inlineStr">
        <is>
          <t>Price</t>
        </is>
      </c>
      <c r="D1" s="1" t="inlineStr">
        <is>
          <t>MarketCap</t>
        </is>
      </c>
      <c r="E1" s="1" t="inlineStr">
        <is>
          <t>ChangePct</t>
        </is>
      </c>
      <c r="F1" s="1" t="inlineStr">
        <is>
          <t>Volume</t>
        </is>
      </c>
      <c r="G1" s="1" t="inlineStr">
        <is>
          <t>CurrentRank</t>
        </is>
      </c>
      <c r="H1" s="1" t="inlineStr">
        <is>
          <t>RankBand</t>
        </is>
      </c>
      <c r="I1" s="1" t="inlineStr">
        <is>
          <t>DataQuality</t>
        </is>
      </c>
    </row>
    <row r="2">
      <c r="A2" s="2">
        <f>UNIVERSE!E2</f>
        <v/>
      </c>
      <c r="B2" s="3">
        <f>UNIVERSE!B2</f>
        <v/>
      </c>
      <c r="C2" s="4">
        <f>IFERROR(GOOGLEFINANCE(A2, "price"), "DATA_REVIEW")</f>
        <v/>
      </c>
      <c r="D2" s="4">
        <f>IFERROR(GOOGLEFINANCE(A2, "marketcap"), "DATA_REVIEW")</f>
        <v/>
      </c>
      <c r="E2" s="4">
        <f>IFERROR(GOOGLEFINANCE(A2, "changepct"), "DATA_REVIEW")</f>
        <v/>
      </c>
      <c r="F2" s="4">
        <f>IFERROR(GOOGLEFINANCE(A2, "volume"), "DATA_REVIEW")</f>
        <v/>
      </c>
      <c r="G2" s="2">
        <f>IF(ISNUMBER(D2), RANK(D2, D$2:D$36), "UNKNOWN")</f>
        <v/>
      </c>
      <c r="H2" s="2">
        <f>IF(NOT(ISNUMBER(G2)), "UNKNOWN", IF(G2&lt;=9, "TOP_9", IF(G2&lt;=20, "RANK_10_20", IF(G2&lt;=30, "RANK_21_30", IF(G2&lt;=50, "RANK_31_50", "OTHER")))))</f>
        <v/>
      </c>
      <c r="I2" s="2">
        <f>IF(AND(ISNUMBER(C2), ISNUMBER(D2), D2&gt;0), "VALID", "DATA_REVIEW")</f>
        <v/>
      </c>
    </row>
    <row r="3">
      <c r="A3" s="2">
        <f>UNIVERSE!E3</f>
        <v/>
      </c>
      <c r="B3" s="3">
        <f>UNIVERSE!B3</f>
        <v/>
      </c>
      <c r="C3" s="4">
        <f>IFERROR(GOOGLEFINANCE(A3, "price"), "DATA_REVIEW")</f>
        <v/>
      </c>
      <c r="D3" s="4">
        <f>IFERROR(GOOGLEFINANCE(A3, "marketcap"), "DATA_REVIEW")</f>
        <v/>
      </c>
      <c r="E3" s="4">
        <f>IFERROR(GOOGLEFINANCE(A3, "changepct"), "DATA_REVIEW")</f>
        <v/>
      </c>
      <c r="F3" s="4">
        <f>IFERROR(GOOGLEFINANCE(A3, "volume"), "DATA_REVIEW")</f>
        <v/>
      </c>
      <c r="G3" s="2">
        <f>IF(ISNUMBER(D3), RANK(D3, D$2:D$36), "UNKNOWN")</f>
        <v/>
      </c>
      <c r="H3" s="2">
        <f>IF(NOT(ISNUMBER(G3)), "UNKNOWN", IF(G3&lt;=9, "TOP_9", IF(G3&lt;=20, "RANK_10_20", IF(G3&lt;=30, "RANK_21_30", IF(G3&lt;=50, "RANK_31_50", "OTHER")))))</f>
        <v/>
      </c>
      <c r="I3" s="2">
        <f>IF(AND(ISNUMBER(C3), ISNUMBER(D3), D3&gt;0), "VALID", "DATA_REVIEW")</f>
        <v/>
      </c>
    </row>
    <row r="4">
      <c r="A4" s="2">
        <f>UNIVERSE!E4</f>
        <v/>
      </c>
      <c r="B4" s="3">
        <f>UNIVERSE!B4</f>
        <v/>
      </c>
      <c r="C4" s="4">
        <f>IFERROR(GOOGLEFINANCE(A4, "price"), "DATA_REVIEW")</f>
        <v/>
      </c>
      <c r="D4" s="4">
        <f>IFERROR(GOOGLEFINANCE(A4, "marketcap"), "DATA_REVIEW")</f>
        <v/>
      </c>
      <c r="E4" s="4">
        <f>IFERROR(GOOGLEFINANCE(A4, "changepct"), "DATA_REVIEW")</f>
        <v/>
      </c>
      <c r="F4" s="4">
        <f>IFERROR(GOOGLEFINANCE(A4, "volume"), "DATA_REVIEW")</f>
        <v/>
      </c>
      <c r="G4" s="2">
        <f>IF(ISNUMBER(D4), RANK(D4, D$2:D$36), "UNKNOWN")</f>
        <v/>
      </c>
      <c r="H4" s="2">
        <f>IF(NOT(ISNUMBER(G4)), "UNKNOWN", IF(G4&lt;=9, "TOP_9", IF(G4&lt;=20, "RANK_10_20", IF(G4&lt;=30, "RANK_21_30", IF(G4&lt;=50, "RANK_31_50", "OTHER")))))</f>
        <v/>
      </c>
      <c r="I4" s="2">
        <f>IF(AND(ISNUMBER(C4), ISNUMBER(D4), D4&gt;0), "VALID", "DATA_REVIEW")</f>
        <v/>
      </c>
    </row>
    <row r="5">
      <c r="A5" s="2">
        <f>UNIVERSE!E5</f>
        <v/>
      </c>
      <c r="B5" s="3">
        <f>UNIVERSE!B5</f>
        <v/>
      </c>
      <c r="C5" s="4">
        <f>IFERROR(GOOGLEFINANCE(A5, "price"), "DATA_REVIEW")</f>
        <v/>
      </c>
      <c r="D5" s="4">
        <f>IFERROR(GOOGLEFINANCE(A5, "marketcap"), "DATA_REVIEW")</f>
        <v/>
      </c>
      <c r="E5" s="4">
        <f>IFERROR(GOOGLEFINANCE(A5, "changepct"), "DATA_REVIEW")</f>
        <v/>
      </c>
      <c r="F5" s="4">
        <f>IFERROR(GOOGLEFINANCE(A5, "volume"), "DATA_REVIEW")</f>
        <v/>
      </c>
      <c r="G5" s="2">
        <f>IF(ISNUMBER(D5), RANK(D5, D$2:D$36), "UNKNOWN")</f>
        <v/>
      </c>
      <c r="H5" s="2">
        <f>IF(NOT(ISNUMBER(G5)), "UNKNOWN", IF(G5&lt;=9, "TOP_9", IF(G5&lt;=20, "RANK_10_20", IF(G5&lt;=30, "RANK_21_30", IF(G5&lt;=50, "RANK_31_50", "OTHER")))))</f>
        <v/>
      </c>
      <c r="I5" s="2">
        <f>IF(AND(ISNUMBER(C5), ISNUMBER(D5), D5&gt;0), "VALID", "DATA_REVIEW")</f>
        <v/>
      </c>
    </row>
    <row r="6">
      <c r="A6" s="2">
        <f>UNIVERSE!E6</f>
        <v/>
      </c>
      <c r="B6" s="3">
        <f>UNIVERSE!B6</f>
        <v/>
      </c>
      <c r="C6" s="4">
        <f>IFERROR(GOOGLEFINANCE(A6, "price"), "DATA_REVIEW")</f>
        <v/>
      </c>
      <c r="D6" s="4">
        <f>IFERROR(GOOGLEFINANCE(A6, "marketcap"), "DATA_REVIEW")</f>
        <v/>
      </c>
      <c r="E6" s="4">
        <f>IFERROR(GOOGLEFINANCE(A6, "changepct"), "DATA_REVIEW")</f>
        <v/>
      </c>
      <c r="F6" s="4">
        <f>IFERROR(GOOGLEFINANCE(A6, "volume"), "DATA_REVIEW")</f>
        <v/>
      </c>
      <c r="G6" s="2">
        <f>IF(ISNUMBER(D6), RANK(D6, D$2:D$36), "UNKNOWN")</f>
        <v/>
      </c>
      <c r="H6" s="2">
        <f>IF(NOT(ISNUMBER(G6)), "UNKNOWN", IF(G6&lt;=9, "TOP_9", IF(G6&lt;=20, "RANK_10_20", IF(G6&lt;=30, "RANK_21_30", IF(G6&lt;=50, "RANK_31_50", "OTHER")))))</f>
        <v/>
      </c>
      <c r="I6" s="2">
        <f>IF(AND(ISNUMBER(C6), ISNUMBER(D6), D6&gt;0), "VALID", "DATA_REVIEW")</f>
        <v/>
      </c>
    </row>
    <row r="7">
      <c r="A7" s="2">
        <f>UNIVERSE!E7</f>
        <v/>
      </c>
      <c r="B7" s="3">
        <f>UNIVERSE!B7</f>
        <v/>
      </c>
      <c r="C7" s="4">
        <f>IFERROR(GOOGLEFINANCE(A7, "price"), "DATA_REVIEW")</f>
        <v/>
      </c>
      <c r="D7" s="4">
        <f>IFERROR(GOOGLEFINANCE(A7, "marketcap"), "DATA_REVIEW")</f>
        <v/>
      </c>
      <c r="E7" s="4">
        <f>IFERROR(GOOGLEFINANCE(A7, "changepct"), "DATA_REVIEW")</f>
        <v/>
      </c>
      <c r="F7" s="4">
        <f>IFERROR(GOOGLEFINANCE(A7, "volume"), "DATA_REVIEW")</f>
        <v/>
      </c>
      <c r="G7" s="2">
        <f>IF(ISNUMBER(D7), RANK(D7, D$2:D$36), "UNKNOWN")</f>
        <v/>
      </c>
      <c r="H7" s="2">
        <f>IF(NOT(ISNUMBER(G7)), "UNKNOWN", IF(G7&lt;=9, "TOP_9", IF(G7&lt;=20, "RANK_10_20", IF(G7&lt;=30, "RANK_21_30", IF(G7&lt;=50, "RANK_31_50", "OTHER")))))</f>
        <v/>
      </c>
      <c r="I7" s="2">
        <f>IF(AND(ISNUMBER(C7), ISNUMBER(D7), D7&gt;0), "VALID", "DATA_REVIEW")</f>
        <v/>
      </c>
    </row>
    <row r="8">
      <c r="A8" s="2">
        <f>UNIVERSE!E8</f>
        <v/>
      </c>
      <c r="B8" s="3">
        <f>UNIVERSE!B8</f>
        <v/>
      </c>
      <c r="C8" s="4">
        <f>IFERROR(GOOGLEFINANCE(A8, "price"), "DATA_REVIEW")</f>
        <v/>
      </c>
      <c r="D8" s="4">
        <f>IFERROR(GOOGLEFINANCE(A8, "marketcap"), "DATA_REVIEW")</f>
        <v/>
      </c>
      <c r="E8" s="4">
        <f>IFERROR(GOOGLEFINANCE(A8, "changepct"), "DATA_REVIEW")</f>
        <v/>
      </c>
      <c r="F8" s="4">
        <f>IFERROR(GOOGLEFINANCE(A8, "volume"), "DATA_REVIEW")</f>
        <v/>
      </c>
      <c r="G8" s="2">
        <f>IF(ISNUMBER(D8), RANK(D8, D$2:D$36), "UNKNOWN")</f>
        <v/>
      </c>
      <c r="H8" s="2">
        <f>IF(NOT(ISNUMBER(G8)), "UNKNOWN", IF(G8&lt;=9, "TOP_9", IF(G8&lt;=20, "RANK_10_20", IF(G8&lt;=30, "RANK_21_30", IF(G8&lt;=50, "RANK_31_50", "OTHER")))))</f>
        <v/>
      </c>
      <c r="I8" s="2">
        <f>IF(AND(ISNUMBER(C8), ISNUMBER(D8), D8&gt;0), "VALID", "DATA_REVIEW")</f>
        <v/>
      </c>
    </row>
    <row r="9">
      <c r="A9" s="2">
        <f>UNIVERSE!E9</f>
        <v/>
      </c>
      <c r="B9" s="3">
        <f>UNIVERSE!B9</f>
        <v/>
      </c>
      <c r="C9" s="4">
        <f>IFERROR(GOOGLEFINANCE(A9, "price"), "DATA_REVIEW")</f>
        <v/>
      </c>
      <c r="D9" s="4">
        <f>IFERROR(GOOGLEFINANCE(A9, "marketcap"), "DATA_REVIEW")</f>
        <v/>
      </c>
      <c r="E9" s="4">
        <f>IFERROR(GOOGLEFINANCE(A9, "changepct"), "DATA_REVIEW")</f>
        <v/>
      </c>
      <c r="F9" s="4">
        <f>IFERROR(GOOGLEFINANCE(A9, "volume"), "DATA_REVIEW")</f>
        <v/>
      </c>
      <c r="G9" s="2">
        <f>IF(ISNUMBER(D9), RANK(D9, D$2:D$36), "UNKNOWN")</f>
        <v/>
      </c>
      <c r="H9" s="2">
        <f>IF(NOT(ISNUMBER(G9)), "UNKNOWN", IF(G9&lt;=9, "TOP_9", IF(G9&lt;=20, "RANK_10_20", IF(G9&lt;=30, "RANK_21_30", IF(G9&lt;=50, "RANK_31_50", "OTHER")))))</f>
        <v/>
      </c>
      <c r="I9" s="2">
        <f>IF(AND(ISNUMBER(C9), ISNUMBER(D9), D9&gt;0), "VALID", "DATA_REVIEW")</f>
        <v/>
      </c>
    </row>
    <row r="10">
      <c r="A10" s="2">
        <f>UNIVERSE!E10</f>
        <v/>
      </c>
      <c r="B10" s="3">
        <f>UNIVERSE!B10</f>
        <v/>
      </c>
      <c r="C10" s="4">
        <f>IFERROR(GOOGLEFINANCE(A10, "price"), "DATA_REVIEW")</f>
        <v/>
      </c>
      <c r="D10" s="4">
        <f>IFERROR(GOOGLEFINANCE(A10, "marketcap"), "DATA_REVIEW")</f>
        <v/>
      </c>
      <c r="E10" s="4">
        <f>IFERROR(GOOGLEFINANCE(A10, "changepct"), "DATA_REVIEW")</f>
        <v/>
      </c>
      <c r="F10" s="4">
        <f>IFERROR(GOOGLEFINANCE(A10, "volume"), "DATA_REVIEW")</f>
        <v/>
      </c>
      <c r="G10" s="2">
        <f>IF(ISNUMBER(D10), RANK(D10, D$2:D$36), "UNKNOWN")</f>
        <v/>
      </c>
      <c r="H10" s="2">
        <f>IF(NOT(ISNUMBER(G10)), "UNKNOWN", IF(G10&lt;=9, "TOP_9", IF(G10&lt;=20, "RANK_10_20", IF(G10&lt;=30, "RANK_21_30", IF(G10&lt;=50, "RANK_31_50", "OTHER")))))</f>
        <v/>
      </c>
      <c r="I10" s="2">
        <f>IF(AND(ISNUMBER(C10), ISNUMBER(D10), D10&gt;0), "VALID", "DATA_REVIEW")</f>
        <v/>
      </c>
    </row>
    <row r="11">
      <c r="A11" s="2">
        <f>UNIVERSE!E11</f>
        <v/>
      </c>
      <c r="B11" s="3">
        <f>UNIVERSE!B11</f>
        <v/>
      </c>
      <c r="C11" s="4">
        <f>IFERROR(GOOGLEFINANCE(A11, "price"), "DATA_REVIEW")</f>
        <v/>
      </c>
      <c r="D11" s="4">
        <f>IFERROR(GOOGLEFINANCE(A11, "marketcap"), "DATA_REVIEW")</f>
        <v/>
      </c>
      <c r="E11" s="4">
        <f>IFERROR(GOOGLEFINANCE(A11, "changepct"), "DATA_REVIEW")</f>
        <v/>
      </c>
      <c r="F11" s="4">
        <f>IFERROR(GOOGLEFINANCE(A11, "volume"), "DATA_REVIEW")</f>
        <v/>
      </c>
      <c r="G11" s="2">
        <f>IF(ISNUMBER(D11), RANK(D11, D$2:D$36), "UNKNOWN")</f>
        <v/>
      </c>
      <c r="H11" s="2">
        <f>IF(NOT(ISNUMBER(G11)), "UNKNOWN", IF(G11&lt;=9, "TOP_9", IF(G11&lt;=20, "RANK_10_20", IF(G11&lt;=30, "RANK_21_30", IF(G11&lt;=50, "RANK_31_50", "OTHER")))))</f>
        <v/>
      </c>
      <c r="I11" s="2">
        <f>IF(AND(ISNUMBER(C11), ISNUMBER(D11), D11&gt;0), "VALID", "DATA_REVIEW")</f>
        <v/>
      </c>
    </row>
    <row r="12">
      <c r="A12" s="2">
        <f>UNIVERSE!E12</f>
        <v/>
      </c>
      <c r="B12" s="3">
        <f>UNIVERSE!B12</f>
        <v/>
      </c>
      <c r="C12" s="4">
        <f>IFERROR(GOOGLEFINANCE(A12, "price"), "DATA_REVIEW")</f>
        <v/>
      </c>
      <c r="D12" s="4">
        <f>IFERROR(GOOGLEFINANCE(A12, "marketcap"), "DATA_REVIEW")</f>
        <v/>
      </c>
      <c r="E12" s="4">
        <f>IFERROR(GOOGLEFINANCE(A12, "changepct"), "DATA_REVIEW")</f>
        <v/>
      </c>
      <c r="F12" s="4">
        <f>IFERROR(GOOGLEFINANCE(A12, "volume"), "DATA_REVIEW")</f>
        <v/>
      </c>
      <c r="G12" s="2">
        <f>IF(ISNUMBER(D12), RANK(D12, D$2:D$36), "UNKNOWN")</f>
        <v/>
      </c>
      <c r="H12" s="2">
        <f>IF(NOT(ISNUMBER(G12)), "UNKNOWN", IF(G12&lt;=9, "TOP_9", IF(G12&lt;=20, "RANK_10_20", IF(G12&lt;=30, "RANK_21_30", IF(G12&lt;=50, "RANK_31_50", "OTHER")))))</f>
        <v/>
      </c>
      <c r="I12" s="2">
        <f>IF(AND(ISNUMBER(C12), ISNUMBER(D12), D12&gt;0), "VALID", "DATA_REVIEW")</f>
        <v/>
      </c>
    </row>
    <row r="13">
      <c r="A13" s="2">
        <f>UNIVERSE!E13</f>
        <v/>
      </c>
      <c r="B13" s="3">
        <f>UNIVERSE!B13</f>
        <v/>
      </c>
      <c r="C13" s="4">
        <f>IFERROR(GOOGLEFINANCE(A13, "price"), "DATA_REVIEW")</f>
        <v/>
      </c>
      <c r="D13" s="4">
        <f>IFERROR(GOOGLEFINANCE(A13, "marketcap"), "DATA_REVIEW")</f>
        <v/>
      </c>
      <c r="E13" s="4">
        <f>IFERROR(GOOGLEFINANCE(A13, "changepct"), "DATA_REVIEW")</f>
        <v/>
      </c>
      <c r="F13" s="4">
        <f>IFERROR(GOOGLEFINANCE(A13, "volume"), "DATA_REVIEW")</f>
        <v/>
      </c>
      <c r="G13" s="2">
        <f>IF(ISNUMBER(D13), RANK(D13, D$2:D$36), "UNKNOWN")</f>
        <v/>
      </c>
      <c r="H13" s="2">
        <f>IF(NOT(ISNUMBER(G13)), "UNKNOWN", IF(G13&lt;=9, "TOP_9", IF(G13&lt;=20, "RANK_10_20", IF(G13&lt;=30, "RANK_21_30", IF(G13&lt;=50, "RANK_31_50", "OTHER")))))</f>
        <v/>
      </c>
      <c r="I13" s="2">
        <f>IF(AND(ISNUMBER(C13), ISNUMBER(D13), D13&gt;0), "VALID", "DATA_REVIEW")</f>
        <v/>
      </c>
    </row>
    <row r="14">
      <c r="A14" s="2">
        <f>UNIVERSE!E14</f>
        <v/>
      </c>
      <c r="B14" s="3">
        <f>UNIVERSE!B14</f>
        <v/>
      </c>
      <c r="C14" s="4">
        <f>IFERROR(GOOGLEFINANCE(A14, "price"), "DATA_REVIEW")</f>
        <v/>
      </c>
      <c r="D14" s="4">
        <f>IFERROR(GOOGLEFINANCE(A14, "marketcap"), "DATA_REVIEW")</f>
        <v/>
      </c>
      <c r="E14" s="4">
        <f>IFERROR(GOOGLEFINANCE(A14, "changepct"), "DATA_REVIEW")</f>
        <v/>
      </c>
      <c r="F14" s="4">
        <f>IFERROR(GOOGLEFINANCE(A14, "volume"), "DATA_REVIEW")</f>
        <v/>
      </c>
      <c r="G14" s="2">
        <f>IF(ISNUMBER(D14), RANK(D14, D$2:D$36), "UNKNOWN")</f>
        <v/>
      </c>
      <c r="H14" s="2">
        <f>IF(NOT(ISNUMBER(G14)), "UNKNOWN", IF(G14&lt;=9, "TOP_9", IF(G14&lt;=20, "RANK_10_20", IF(G14&lt;=30, "RANK_21_30", IF(G14&lt;=50, "RANK_31_50", "OTHER")))))</f>
        <v/>
      </c>
      <c r="I14" s="2">
        <f>IF(AND(ISNUMBER(C14), ISNUMBER(D14), D14&gt;0), "VALID", "DATA_REVIEW")</f>
        <v/>
      </c>
    </row>
    <row r="15">
      <c r="A15" s="2">
        <f>UNIVERSE!E15</f>
        <v/>
      </c>
      <c r="B15" s="3">
        <f>UNIVERSE!B15</f>
        <v/>
      </c>
      <c r="C15" s="4">
        <f>IFERROR(GOOGLEFINANCE(A15, "price"), "DATA_REVIEW")</f>
        <v/>
      </c>
      <c r="D15" s="4">
        <f>IFERROR(GOOGLEFINANCE(A15, "marketcap"), "DATA_REVIEW")</f>
        <v/>
      </c>
      <c r="E15" s="4">
        <f>IFERROR(GOOGLEFINANCE(A15, "changepct"), "DATA_REVIEW")</f>
        <v/>
      </c>
      <c r="F15" s="4">
        <f>IFERROR(GOOGLEFINANCE(A15, "volume"), "DATA_REVIEW")</f>
        <v/>
      </c>
      <c r="G15" s="2">
        <f>IF(ISNUMBER(D15), RANK(D15, D$2:D$36), "UNKNOWN")</f>
        <v/>
      </c>
      <c r="H15" s="2">
        <f>IF(NOT(ISNUMBER(G15)), "UNKNOWN", IF(G15&lt;=9, "TOP_9", IF(G15&lt;=20, "RANK_10_20", IF(G15&lt;=30, "RANK_21_30", IF(G15&lt;=50, "RANK_31_50", "OTHER")))))</f>
        <v/>
      </c>
      <c r="I15" s="2">
        <f>IF(AND(ISNUMBER(C15), ISNUMBER(D15), D15&gt;0), "VALID", "DATA_REVIEW")</f>
        <v/>
      </c>
    </row>
    <row r="16">
      <c r="A16" s="2">
        <f>UNIVERSE!E16</f>
        <v/>
      </c>
      <c r="B16" s="3">
        <f>UNIVERSE!B16</f>
        <v/>
      </c>
      <c r="C16" s="4">
        <f>IFERROR(GOOGLEFINANCE(A16, "price"), "DATA_REVIEW")</f>
        <v/>
      </c>
      <c r="D16" s="4">
        <f>IFERROR(GOOGLEFINANCE(A16, "marketcap"), "DATA_REVIEW")</f>
        <v/>
      </c>
      <c r="E16" s="4">
        <f>IFERROR(GOOGLEFINANCE(A16, "changepct"), "DATA_REVIEW")</f>
        <v/>
      </c>
      <c r="F16" s="4">
        <f>IFERROR(GOOGLEFINANCE(A16, "volume"), "DATA_REVIEW")</f>
        <v/>
      </c>
      <c r="G16" s="2">
        <f>IF(ISNUMBER(D16), RANK(D16, D$2:D$36), "UNKNOWN")</f>
        <v/>
      </c>
      <c r="H16" s="2">
        <f>IF(NOT(ISNUMBER(G16)), "UNKNOWN", IF(G16&lt;=9, "TOP_9", IF(G16&lt;=20, "RANK_10_20", IF(G16&lt;=30, "RANK_21_30", IF(G16&lt;=50, "RANK_31_50", "OTHER")))))</f>
        <v/>
      </c>
      <c r="I16" s="2">
        <f>IF(AND(ISNUMBER(C16), ISNUMBER(D16), D16&gt;0), "VALID", "DATA_REVIEW")</f>
        <v/>
      </c>
    </row>
    <row r="17">
      <c r="A17" s="2">
        <f>UNIVERSE!E17</f>
        <v/>
      </c>
      <c r="B17" s="3">
        <f>UNIVERSE!B17</f>
        <v/>
      </c>
      <c r="C17" s="4">
        <f>IFERROR(GOOGLEFINANCE(A17, "price"), "DATA_REVIEW")</f>
        <v/>
      </c>
      <c r="D17" s="4">
        <f>IFERROR(GOOGLEFINANCE(A17, "marketcap"), "DATA_REVIEW")</f>
        <v/>
      </c>
      <c r="E17" s="4">
        <f>IFERROR(GOOGLEFINANCE(A17, "changepct"), "DATA_REVIEW")</f>
        <v/>
      </c>
      <c r="F17" s="4">
        <f>IFERROR(GOOGLEFINANCE(A17, "volume"), "DATA_REVIEW")</f>
        <v/>
      </c>
      <c r="G17" s="2">
        <f>IF(ISNUMBER(D17), RANK(D17, D$2:D$36), "UNKNOWN")</f>
        <v/>
      </c>
      <c r="H17" s="2">
        <f>IF(NOT(ISNUMBER(G17)), "UNKNOWN", IF(G17&lt;=9, "TOP_9", IF(G17&lt;=20, "RANK_10_20", IF(G17&lt;=30, "RANK_21_30", IF(G17&lt;=50, "RANK_31_50", "OTHER")))))</f>
        <v/>
      </c>
      <c r="I17" s="2">
        <f>IF(AND(ISNUMBER(C17), ISNUMBER(D17), D17&gt;0), "VALID", "DATA_REVIEW")</f>
        <v/>
      </c>
    </row>
    <row r="18">
      <c r="A18" s="2">
        <f>UNIVERSE!E18</f>
        <v/>
      </c>
      <c r="B18" s="3">
        <f>UNIVERSE!B18</f>
        <v/>
      </c>
      <c r="C18" s="4">
        <f>IFERROR(GOOGLEFINANCE(A18, "price"), "DATA_REVIEW")</f>
        <v/>
      </c>
      <c r="D18" s="4">
        <f>IFERROR(GOOGLEFINANCE(A18, "marketcap"), "DATA_REVIEW")</f>
        <v/>
      </c>
      <c r="E18" s="4">
        <f>IFERROR(GOOGLEFINANCE(A18, "changepct"), "DATA_REVIEW")</f>
        <v/>
      </c>
      <c r="F18" s="4">
        <f>IFERROR(GOOGLEFINANCE(A18, "volume"), "DATA_REVIEW")</f>
        <v/>
      </c>
      <c r="G18" s="2">
        <f>IF(ISNUMBER(D18), RANK(D18, D$2:D$36), "UNKNOWN")</f>
        <v/>
      </c>
      <c r="H18" s="2">
        <f>IF(NOT(ISNUMBER(G18)), "UNKNOWN", IF(G18&lt;=9, "TOP_9", IF(G18&lt;=20, "RANK_10_20", IF(G18&lt;=30, "RANK_21_30", IF(G18&lt;=50, "RANK_31_50", "OTHER")))))</f>
        <v/>
      </c>
      <c r="I18" s="2">
        <f>IF(AND(ISNUMBER(C18), ISNUMBER(D18), D18&gt;0), "VALID", "DATA_REVIEW")</f>
        <v/>
      </c>
    </row>
    <row r="19">
      <c r="A19" s="2">
        <f>UNIVERSE!E19</f>
        <v/>
      </c>
      <c r="B19" s="3">
        <f>UNIVERSE!B19</f>
        <v/>
      </c>
      <c r="C19" s="4">
        <f>IFERROR(GOOGLEFINANCE(A19, "price"), "DATA_REVIEW")</f>
        <v/>
      </c>
      <c r="D19" s="4">
        <f>IFERROR(GOOGLEFINANCE(A19, "marketcap"), "DATA_REVIEW")</f>
        <v/>
      </c>
      <c r="E19" s="4">
        <f>IFERROR(GOOGLEFINANCE(A19, "changepct"), "DATA_REVIEW")</f>
        <v/>
      </c>
      <c r="F19" s="4">
        <f>IFERROR(GOOGLEFINANCE(A19, "volume"), "DATA_REVIEW")</f>
        <v/>
      </c>
      <c r="G19" s="2">
        <f>IF(ISNUMBER(D19), RANK(D19, D$2:D$36), "UNKNOWN")</f>
        <v/>
      </c>
      <c r="H19" s="2">
        <f>IF(NOT(ISNUMBER(G19)), "UNKNOWN", IF(G19&lt;=9, "TOP_9", IF(G19&lt;=20, "RANK_10_20", IF(G19&lt;=30, "RANK_21_30", IF(G19&lt;=50, "RANK_31_50", "OTHER")))))</f>
        <v/>
      </c>
      <c r="I19" s="2">
        <f>IF(AND(ISNUMBER(C19), ISNUMBER(D19), D19&gt;0), "VALID", "DATA_REVIEW")</f>
        <v/>
      </c>
    </row>
    <row r="20">
      <c r="A20" s="2">
        <f>UNIVERSE!E20</f>
        <v/>
      </c>
      <c r="B20" s="3">
        <f>UNIVERSE!B20</f>
        <v/>
      </c>
      <c r="C20" s="4">
        <f>IFERROR(GOOGLEFINANCE(A20, "price"), "DATA_REVIEW")</f>
        <v/>
      </c>
      <c r="D20" s="4">
        <f>IFERROR(GOOGLEFINANCE(A20, "marketcap"), "DATA_REVIEW")</f>
        <v/>
      </c>
      <c r="E20" s="4">
        <f>IFERROR(GOOGLEFINANCE(A20, "changepct"), "DATA_REVIEW")</f>
        <v/>
      </c>
      <c r="F20" s="4">
        <f>IFERROR(GOOGLEFINANCE(A20, "volume"), "DATA_REVIEW")</f>
        <v/>
      </c>
      <c r="G20" s="2">
        <f>IF(ISNUMBER(D20), RANK(D20, D$2:D$36), "UNKNOWN")</f>
        <v/>
      </c>
      <c r="H20" s="2">
        <f>IF(NOT(ISNUMBER(G20)), "UNKNOWN", IF(G20&lt;=9, "TOP_9", IF(G20&lt;=20, "RANK_10_20", IF(G20&lt;=30, "RANK_21_30", IF(G20&lt;=50, "RANK_31_50", "OTHER")))))</f>
        <v/>
      </c>
      <c r="I20" s="2">
        <f>IF(AND(ISNUMBER(C20), ISNUMBER(D20), D20&gt;0), "VALID", "DATA_REVIEW")</f>
        <v/>
      </c>
    </row>
    <row r="21">
      <c r="A21" s="2">
        <f>UNIVERSE!E21</f>
        <v/>
      </c>
      <c r="B21" s="3">
        <f>UNIVERSE!B21</f>
        <v/>
      </c>
      <c r="C21" s="4">
        <f>IFERROR(GOOGLEFINANCE(A21, "price"), "DATA_REVIEW")</f>
        <v/>
      </c>
      <c r="D21" s="4">
        <f>IFERROR(GOOGLEFINANCE(A21, "marketcap"), "DATA_REVIEW")</f>
        <v/>
      </c>
      <c r="E21" s="4">
        <f>IFERROR(GOOGLEFINANCE(A21, "changepct"), "DATA_REVIEW")</f>
        <v/>
      </c>
      <c r="F21" s="4">
        <f>IFERROR(GOOGLEFINANCE(A21, "volume"), "DATA_REVIEW")</f>
        <v/>
      </c>
      <c r="G21" s="2">
        <f>IF(ISNUMBER(D21), RANK(D21, D$2:D$36), "UNKNOWN")</f>
        <v/>
      </c>
      <c r="H21" s="2">
        <f>IF(NOT(ISNUMBER(G21)), "UNKNOWN", IF(G21&lt;=9, "TOP_9", IF(G21&lt;=20, "RANK_10_20", IF(G21&lt;=30, "RANK_21_30", IF(G21&lt;=50, "RANK_31_50", "OTHER")))))</f>
        <v/>
      </c>
      <c r="I21" s="2">
        <f>IF(AND(ISNUMBER(C21), ISNUMBER(D21), D21&gt;0), "VALID", "DATA_REVIEW")</f>
        <v/>
      </c>
    </row>
    <row r="22">
      <c r="A22" s="2">
        <f>UNIVERSE!E22</f>
        <v/>
      </c>
      <c r="B22" s="3">
        <f>UNIVERSE!B22</f>
        <v/>
      </c>
      <c r="C22" s="4">
        <f>IFERROR(GOOGLEFINANCE(A22, "price"), "DATA_REVIEW")</f>
        <v/>
      </c>
      <c r="D22" s="4">
        <f>IFERROR(GOOGLEFINANCE(A22, "marketcap"), "DATA_REVIEW")</f>
        <v/>
      </c>
      <c r="E22" s="4">
        <f>IFERROR(GOOGLEFINANCE(A22, "changepct"), "DATA_REVIEW")</f>
        <v/>
      </c>
      <c r="F22" s="4">
        <f>IFERROR(GOOGLEFINANCE(A22, "volume"), "DATA_REVIEW")</f>
        <v/>
      </c>
      <c r="G22" s="2">
        <f>IF(ISNUMBER(D22), RANK(D22, D$2:D$36), "UNKNOWN")</f>
        <v/>
      </c>
      <c r="H22" s="2">
        <f>IF(NOT(ISNUMBER(G22)), "UNKNOWN", IF(G22&lt;=9, "TOP_9", IF(G22&lt;=20, "RANK_10_20", IF(G22&lt;=30, "RANK_21_30", IF(G22&lt;=50, "RANK_31_50", "OTHER")))))</f>
        <v/>
      </c>
      <c r="I22" s="2">
        <f>IF(AND(ISNUMBER(C22), ISNUMBER(D22), D22&gt;0), "VALID", "DATA_REVIEW")</f>
        <v/>
      </c>
    </row>
    <row r="23">
      <c r="A23" s="2">
        <f>UNIVERSE!E23</f>
        <v/>
      </c>
      <c r="B23" s="3">
        <f>UNIVERSE!B23</f>
        <v/>
      </c>
      <c r="C23" s="4">
        <f>IFERROR(GOOGLEFINANCE(A23, "price"), "DATA_REVIEW")</f>
        <v/>
      </c>
      <c r="D23" s="4">
        <f>IFERROR(GOOGLEFINANCE(A23, "marketcap"), "DATA_REVIEW")</f>
        <v/>
      </c>
      <c r="E23" s="4">
        <f>IFERROR(GOOGLEFINANCE(A23, "changepct"), "DATA_REVIEW")</f>
        <v/>
      </c>
      <c r="F23" s="4">
        <f>IFERROR(GOOGLEFINANCE(A23, "volume"), "DATA_REVIEW")</f>
        <v/>
      </c>
      <c r="G23" s="2">
        <f>IF(ISNUMBER(D23), RANK(D23, D$2:D$36), "UNKNOWN")</f>
        <v/>
      </c>
      <c r="H23" s="2">
        <f>IF(NOT(ISNUMBER(G23)), "UNKNOWN", IF(G23&lt;=9, "TOP_9", IF(G23&lt;=20, "RANK_10_20", IF(G23&lt;=30, "RANK_21_30", IF(G23&lt;=50, "RANK_31_50", "OTHER")))))</f>
        <v/>
      </c>
      <c r="I23" s="2">
        <f>IF(AND(ISNUMBER(C23), ISNUMBER(D23), D23&gt;0), "VALID", "DATA_REVIEW")</f>
        <v/>
      </c>
    </row>
    <row r="24">
      <c r="A24" s="2">
        <f>UNIVERSE!E24</f>
        <v/>
      </c>
      <c r="B24" s="3">
        <f>UNIVERSE!B24</f>
        <v/>
      </c>
      <c r="C24" s="4">
        <f>IFERROR(GOOGLEFINANCE(A24, "price"), "DATA_REVIEW")</f>
        <v/>
      </c>
      <c r="D24" s="4">
        <f>IFERROR(GOOGLEFINANCE(A24, "marketcap"), "DATA_REVIEW")</f>
        <v/>
      </c>
      <c r="E24" s="4">
        <f>IFERROR(GOOGLEFINANCE(A24, "changepct"), "DATA_REVIEW")</f>
        <v/>
      </c>
      <c r="F24" s="4">
        <f>IFERROR(GOOGLEFINANCE(A24, "volume"), "DATA_REVIEW")</f>
        <v/>
      </c>
      <c r="G24" s="2">
        <f>IF(ISNUMBER(D24), RANK(D24, D$2:D$36), "UNKNOWN")</f>
        <v/>
      </c>
      <c r="H24" s="2">
        <f>IF(NOT(ISNUMBER(G24)), "UNKNOWN", IF(G24&lt;=9, "TOP_9", IF(G24&lt;=20, "RANK_10_20", IF(G24&lt;=30, "RANK_21_30", IF(G24&lt;=50, "RANK_31_50", "OTHER")))))</f>
        <v/>
      </c>
      <c r="I24" s="2">
        <f>IF(AND(ISNUMBER(C24), ISNUMBER(D24), D24&gt;0), "VALID", "DATA_REVIEW")</f>
        <v/>
      </c>
    </row>
    <row r="25">
      <c r="A25" s="2">
        <f>UNIVERSE!E25</f>
        <v/>
      </c>
      <c r="B25" s="3">
        <f>UNIVERSE!B25</f>
        <v/>
      </c>
      <c r="C25" s="4">
        <f>IFERROR(GOOGLEFINANCE(A25, "price"), "DATA_REVIEW")</f>
        <v/>
      </c>
      <c r="D25" s="4">
        <f>IFERROR(GOOGLEFINANCE(A25, "marketcap"), "DATA_REVIEW")</f>
        <v/>
      </c>
      <c r="E25" s="4">
        <f>IFERROR(GOOGLEFINANCE(A25, "changepct"), "DATA_REVIEW")</f>
        <v/>
      </c>
      <c r="F25" s="4">
        <f>IFERROR(GOOGLEFINANCE(A25, "volume"), "DATA_REVIEW")</f>
        <v/>
      </c>
      <c r="G25" s="2">
        <f>IF(ISNUMBER(D25), RANK(D25, D$2:D$36), "UNKNOWN")</f>
        <v/>
      </c>
      <c r="H25" s="2">
        <f>IF(NOT(ISNUMBER(G25)), "UNKNOWN", IF(G25&lt;=9, "TOP_9", IF(G25&lt;=20, "RANK_10_20", IF(G25&lt;=30, "RANK_21_30", IF(G25&lt;=50, "RANK_31_50", "OTHER")))))</f>
        <v/>
      </c>
      <c r="I25" s="2">
        <f>IF(AND(ISNUMBER(C25), ISNUMBER(D25), D25&gt;0), "VALID", "DATA_REVIEW")</f>
        <v/>
      </c>
    </row>
    <row r="26">
      <c r="A26" s="2">
        <f>UNIVERSE!E26</f>
        <v/>
      </c>
      <c r="B26" s="3">
        <f>UNIVERSE!B26</f>
        <v/>
      </c>
      <c r="C26" s="4">
        <f>IFERROR(GOOGLEFINANCE(A26, "price"), "DATA_REVIEW")</f>
        <v/>
      </c>
      <c r="D26" s="4">
        <f>IFERROR(GOOGLEFINANCE(A26, "marketcap"), "DATA_REVIEW")</f>
        <v/>
      </c>
      <c r="E26" s="4">
        <f>IFERROR(GOOGLEFINANCE(A26, "changepct"), "DATA_REVIEW")</f>
        <v/>
      </c>
      <c r="F26" s="4">
        <f>IFERROR(GOOGLEFINANCE(A26, "volume"), "DATA_REVIEW")</f>
        <v/>
      </c>
      <c r="G26" s="2">
        <f>IF(ISNUMBER(D26), RANK(D26, D$2:D$36), "UNKNOWN")</f>
        <v/>
      </c>
      <c r="H26" s="2">
        <f>IF(NOT(ISNUMBER(G26)), "UNKNOWN", IF(G26&lt;=9, "TOP_9", IF(G26&lt;=20, "RANK_10_20", IF(G26&lt;=30, "RANK_21_30", IF(G26&lt;=50, "RANK_31_50", "OTHER")))))</f>
        <v/>
      </c>
      <c r="I26" s="2">
        <f>IF(AND(ISNUMBER(C26), ISNUMBER(D26), D26&gt;0), "VALID", "DATA_REVIEW")</f>
        <v/>
      </c>
    </row>
    <row r="27">
      <c r="A27" s="2">
        <f>UNIVERSE!E27</f>
        <v/>
      </c>
      <c r="B27" s="3">
        <f>UNIVERSE!B27</f>
        <v/>
      </c>
      <c r="C27" s="4">
        <f>IFERROR(GOOGLEFINANCE(A27, "price"), "DATA_REVIEW")</f>
        <v/>
      </c>
      <c r="D27" s="4">
        <f>IFERROR(GOOGLEFINANCE(A27, "marketcap"), "DATA_REVIEW")</f>
        <v/>
      </c>
      <c r="E27" s="4">
        <f>IFERROR(GOOGLEFINANCE(A27, "changepct"), "DATA_REVIEW")</f>
        <v/>
      </c>
      <c r="F27" s="4">
        <f>IFERROR(GOOGLEFINANCE(A27, "volume"), "DATA_REVIEW")</f>
        <v/>
      </c>
      <c r="G27" s="2">
        <f>IF(ISNUMBER(D27), RANK(D27, D$2:D$36), "UNKNOWN")</f>
        <v/>
      </c>
      <c r="H27" s="2">
        <f>IF(NOT(ISNUMBER(G27)), "UNKNOWN", IF(G27&lt;=9, "TOP_9", IF(G27&lt;=20, "RANK_10_20", IF(G27&lt;=30, "RANK_21_30", IF(G27&lt;=50, "RANK_31_50", "OTHER")))))</f>
        <v/>
      </c>
      <c r="I27" s="2">
        <f>IF(AND(ISNUMBER(C27), ISNUMBER(D27), D27&gt;0), "VALID", "DATA_REVIEW")</f>
        <v/>
      </c>
    </row>
    <row r="28">
      <c r="A28" s="2">
        <f>UNIVERSE!E28</f>
        <v/>
      </c>
      <c r="B28" s="3">
        <f>UNIVERSE!B28</f>
        <v/>
      </c>
      <c r="C28" s="4">
        <f>IFERROR(GOOGLEFINANCE(A28, "price"), "DATA_REVIEW")</f>
        <v/>
      </c>
      <c r="D28" s="4">
        <f>IFERROR(GOOGLEFINANCE(A28, "marketcap"), "DATA_REVIEW")</f>
        <v/>
      </c>
      <c r="E28" s="4">
        <f>IFERROR(GOOGLEFINANCE(A28, "changepct"), "DATA_REVIEW")</f>
        <v/>
      </c>
      <c r="F28" s="4">
        <f>IFERROR(GOOGLEFINANCE(A28, "volume"), "DATA_REVIEW")</f>
        <v/>
      </c>
      <c r="G28" s="2">
        <f>IF(ISNUMBER(D28), RANK(D28, D$2:D$36), "UNKNOWN")</f>
        <v/>
      </c>
      <c r="H28" s="2">
        <f>IF(NOT(ISNUMBER(G28)), "UNKNOWN", IF(G28&lt;=9, "TOP_9", IF(G28&lt;=20, "RANK_10_20", IF(G28&lt;=30, "RANK_21_30", IF(G28&lt;=50, "RANK_31_50", "OTHER")))))</f>
        <v/>
      </c>
      <c r="I28" s="2">
        <f>IF(AND(ISNUMBER(C28), ISNUMBER(D28), D28&gt;0), "VALID", "DATA_REVIEW")</f>
        <v/>
      </c>
    </row>
    <row r="29">
      <c r="A29" s="2">
        <f>UNIVERSE!E29</f>
        <v/>
      </c>
      <c r="B29" s="3">
        <f>UNIVERSE!B29</f>
        <v/>
      </c>
      <c r="C29" s="4">
        <f>IFERROR(GOOGLEFINANCE(A29, "price"), "DATA_REVIEW")</f>
        <v/>
      </c>
      <c r="D29" s="4">
        <f>IFERROR(GOOGLEFINANCE(A29, "marketcap"), "DATA_REVIEW")</f>
        <v/>
      </c>
      <c r="E29" s="4">
        <f>IFERROR(GOOGLEFINANCE(A29, "changepct"), "DATA_REVIEW")</f>
        <v/>
      </c>
      <c r="F29" s="4">
        <f>IFERROR(GOOGLEFINANCE(A29, "volume"), "DATA_REVIEW")</f>
        <v/>
      </c>
      <c r="G29" s="2">
        <f>IF(ISNUMBER(D29), RANK(D29, D$2:D$36), "UNKNOWN")</f>
        <v/>
      </c>
      <c r="H29" s="2">
        <f>IF(NOT(ISNUMBER(G29)), "UNKNOWN", IF(G29&lt;=9, "TOP_9", IF(G29&lt;=20, "RANK_10_20", IF(G29&lt;=30, "RANK_21_30", IF(G29&lt;=50, "RANK_31_50", "OTHER")))))</f>
        <v/>
      </c>
      <c r="I29" s="2">
        <f>IF(AND(ISNUMBER(C29), ISNUMBER(D29), D29&gt;0), "VALID", "DATA_REVIEW")</f>
        <v/>
      </c>
    </row>
    <row r="30">
      <c r="A30" s="2">
        <f>UNIVERSE!E30</f>
        <v/>
      </c>
      <c r="B30" s="3">
        <f>UNIVERSE!B30</f>
        <v/>
      </c>
      <c r="C30" s="4">
        <f>IFERROR(GOOGLEFINANCE(A30, "price"), "DATA_REVIEW")</f>
        <v/>
      </c>
      <c r="D30" s="4">
        <f>IFERROR(GOOGLEFINANCE(A30, "marketcap"), "DATA_REVIEW")</f>
        <v/>
      </c>
      <c r="E30" s="4">
        <f>IFERROR(GOOGLEFINANCE(A30, "changepct"), "DATA_REVIEW")</f>
        <v/>
      </c>
      <c r="F30" s="4">
        <f>IFERROR(GOOGLEFINANCE(A30, "volume"), "DATA_REVIEW")</f>
        <v/>
      </c>
      <c r="G30" s="2">
        <f>IF(ISNUMBER(D30), RANK(D30, D$2:D$36), "UNKNOWN")</f>
        <v/>
      </c>
      <c r="H30" s="2">
        <f>IF(NOT(ISNUMBER(G30)), "UNKNOWN", IF(G30&lt;=9, "TOP_9", IF(G30&lt;=20, "RANK_10_20", IF(G30&lt;=30, "RANK_21_30", IF(G30&lt;=50, "RANK_31_50", "OTHER")))))</f>
        <v/>
      </c>
      <c r="I30" s="2">
        <f>IF(AND(ISNUMBER(C30), ISNUMBER(D30), D30&gt;0), "VALID", "DATA_REVIEW")</f>
        <v/>
      </c>
    </row>
    <row r="31">
      <c r="A31" s="2">
        <f>UNIVERSE!E31</f>
        <v/>
      </c>
      <c r="B31" s="3">
        <f>UNIVERSE!B31</f>
        <v/>
      </c>
      <c r="C31" s="4">
        <f>IFERROR(GOOGLEFINANCE(A31, "price"), "DATA_REVIEW")</f>
        <v/>
      </c>
      <c r="D31" s="4">
        <f>IFERROR(GOOGLEFINANCE(A31, "marketcap"), "DATA_REVIEW")</f>
        <v/>
      </c>
      <c r="E31" s="4">
        <f>IFERROR(GOOGLEFINANCE(A31, "changepct"), "DATA_REVIEW")</f>
        <v/>
      </c>
      <c r="F31" s="4">
        <f>IFERROR(GOOGLEFINANCE(A31, "volume"), "DATA_REVIEW")</f>
        <v/>
      </c>
      <c r="G31" s="2">
        <f>IF(ISNUMBER(D31), RANK(D31, D$2:D$36), "UNKNOWN")</f>
        <v/>
      </c>
      <c r="H31" s="2">
        <f>IF(NOT(ISNUMBER(G31)), "UNKNOWN", IF(G31&lt;=9, "TOP_9", IF(G31&lt;=20, "RANK_10_20", IF(G31&lt;=30, "RANK_21_30", IF(G31&lt;=50, "RANK_31_50", "OTHER")))))</f>
        <v/>
      </c>
      <c r="I31" s="2">
        <f>IF(AND(ISNUMBER(C31), ISNUMBER(D31), D31&gt;0), "VALID", "DATA_REVIEW")</f>
        <v/>
      </c>
    </row>
    <row r="32">
      <c r="A32" s="2">
        <f>UNIVERSE!E32</f>
        <v/>
      </c>
      <c r="B32" s="3">
        <f>UNIVERSE!B32</f>
        <v/>
      </c>
      <c r="C32" s="4">
        <f>IFERROR(GOOGLEFINANCE(A32, "price"), "DATA_REVIEW")</f>
        <v/>
      </c>
      <c r="D32" s="4">
        <f>IFERROR(GOOGLEFINANCE(A32, "marketcap"), "DATA_REVIEW")</f>
        <v/>
      </c>
      <c r="E32" s="4">
        <f>IFERROR(GOOGLEFINANCE(A32, "changepct"), "DATA_REVIEW")</f>
        <v/>
      </c>
      <c r="F32" s="4">
        <f>IFERROR(GOOGLEFINANCE(A32, "volume"), "DATA_REVIEW")</f>
        <v/>
      </c>
      <c r="G32" s="2">
        <f>IF(ISNUMBER(D32), RANK(D32, D$2:D$36), "UNKNOWN")</f>
        <v/>
      </c>
      <c r="H32" s="2">
        <f>IF(NOT(ISNUMBER(G32)), "UNKNOWN", IF(G32&lt;=9, "TOP_9", IF(G32&lt;=20, "RANK_10_20", IF(G32&lt;=30, "RANK_21_30", IF(G32&lt;=50, "RANK_31_50", "OTHER")))))</f>
        <v/>
      </c>
      <c r="I32" s="2">
        <f>IF(AND(ISNUMBER(C32), ISNUMBER(D32), D32&gt;0), "VALID", "DATA_REVIEW")</f>
        <v/>
      </c>
    </row>
    <row r="33">
      <c r="A33" s="2">
        <f>UNIVERSE!E33</f>
        <v/>
      </c>
      <c r="B33" s="3">
        <f>UNIVERSE!B33</f>
        <v/>
      </c>
      <c r="C33" s="4">
        <f>IFERROR(GOOGLEFINANCE(A33, "price"), "DATA_REVIEW")</f>
        <v/>
      </c>
      <c r="D33" s="4">
        <f>IFERROR(GOOGLEFINANCE(A33, "marketcap"), "DATA_REVIEW")</f>
        <v/>
      </c>
      <c r="E33" s="4">
        <f>IFERROR(GOOGLEFINANCE(A33, "changepct"), "DATA_REVIEW")</f>
        <v/>
      </c>
      <c r="F33" s="4">
        <f>IFERROR(GOOGLEFINANCE(A33, "volume"), "DATA_REVIEW")</f>
        <v/>
      </c>
      <c r="G33" s="2">
        <f>IF(ISNUMBER(D33), RANK(D33, D$2:D$36), "UNKNOWN")</f>
        <v/>
      </c>
      <c r="H33" s="2">
        <f>IF(NOT(ISNUMBER(G33)), "UNKNOWN", IF(G33&lt;=9, "TOP_9", IF(G33&lt;=20, "RANK_10_20", IF(G33&lt;=30, "RANK_21_30", IF(G33&lt;=50, "RANK_31_50", "OTHER")))))</f>
        <v/>
      </c>
      <c r="I33" s="2">
        <f>IF(AND(ISNUMBER(C33), ISNUMBER(D33), D33&gt;0), "VALID", "DATA_REVIEW")</f>
        <v/>
      </c>
    </row>
    <row r="34">
      <c r="A34" s="2">
        <f>UNIVERSE!E34</f>
        <v/>
      </c>
      <c r="B34" s="3">
        <f>UNIVERSE!B34</f>
        <v/>
      </c>
      <c r="C34" s="4">
        <f>IFERROR(GOOGLEFINANCE(A34, "price"), "DATA_REVIEW")</f>
        <v/>
      </c>
      <c r="D34" s="4">
        <f>IFERROR(GOOGLEFINANCE(A34, "marketcap"), "DATA_REVIEW")</f>
        <v/>
      </c>
      <c r="E34" s="4">
        <f>IFERROR(GOOGLEFINANCE(A34, "changepct"), "DATA_REVIEW")</f>
        <v/>
      </c>
      <c r="F34" s="4">
        <f>IFERROR(GOOGLEFINANCE(A34, "volume"), "DATA_REVIEW")</f>
        <v/>
      </c>
      <c r="G34" s="2">
        <f>IF(ISNUMBER(D34), RANK(D34, D$2:D$36), "UNKNOWN")</f>
        <v/>
      </c>
      <c r="H34" s="2">
        <f>IF(NOT(ISNUMBER(G34)), "UNKNOWN", IF(G34&lt;=9, "TOP_9", IF(G34&lt;=20, "RANK_10_20", IF(G34&lt;=30, "RANK_21_30", IF(G34&lt;=50, "RANK_31_50", "OTHER")))))</f>
        <v/>
      </c>
      <c r="I34" s="2">
        <f>IF(AND(ISNUMBER(C34), ISNUMBER(D34), D34&gt;0), "VALID", "DATA_REVIEW")</f>
        <v/>
      </c>
    </row>
    <row r="35">
      <c r="A35" s="2">
        <f>UNIVERSE!E35</f>
        <v/>
      </c>
      <c r="B35" s="3">
        <f>UNIVERSE!B35</f>
        <v/>
      </c>
      <c r="C35" s="4">
        <f>IFERROR(GOOGLEFINANCE(A35, "price"), "DATA_REVIEW")</f>
        <v/>
      </c>
      <c r="D35" s="4">
        <f>IFERROR(GOOGLEFINANCE(A35, "marketcap"), "DATA_REVIEW")</f>
        <v/>
      </c>
      <c r="E35" s="4">
        <f>IFERROR(GOOGLEFINANCE(A35, "changepct"), "DATA_REVIEW")</f>
        <v/>
      </c>
      <c r="F35" s="4">
        <f>IFERROR(GOOGLEFINANCE(A35, "volume"), "DATA_REVIEW")</f>
        <v/>
      </c>
      <c r="G35" s="2">
        <f>IF(ISNUMBER(D35), RANK(D35, D$2:D$36), "UNKNOWN")</f>
        <v/>
      </c>
      <c r="H35" s="2">
        <f>IF(NOT(ISNUMBER(G35)), "UNKNOWN", IF(G35&lt;=9, "TOP_9", IF(G35&lt;=20, "RANK_10_20", IF(G35&lt;=30, "RANK_21_30", IF(G35&lt;=50, "RANK_31_50", "OTHER")))))</f>
        <v/>
      </c>
      <c r="I35" s="2">
        <f>IF(AND(ISNUMBER(C35), ISNUMBER(D35), D35&gt;0), "VALID", "DATA_REVIEW")</f>
        <v/>
      </c>
    </row>
    <row r="36">
      <c r="A36" s="2">
        <f>UNIVERSE!E36</f>
        <v/>
      </c>
      <c r="B36" s="3">
        <f>UNIVERSE!B36</f>
        <v/>
      </c>
      <c r="C36" s="4">
        <f>IFERROR(GOOGLEFINANCE(A36, "price"), "DATA_REVIEW")</f>
        <v/>
      </c>
      <c r="D36" s="4">
        <f>IFERROR(GOOGLEFINANCE(A36, "marketcap"), "DATA_REVIEW")</f>
        <v/>
      </c>
      <c r="E36" s="4">
        <f>IFERROR(GOOGLEFINANCE(A36, "changepct"), "DATA_REVIEW")</f>
        <v/>
      </c>
      <c r="F36" s="4">
        <f>IFERROR(GOOGLEFINANCE(A36, "volume"), "DATA_REVIEW")</f>
        <v/>
      </c>
      <c r="G36" s="2">
        <f>IF(ISNUMBER(D36), RANK(D36, D$2:D$36), "UNKNOWN")</f>
        <v/>
      </c>
      <c r="H36" s="2">
        <f>IF(NOT(ISNUMBER(G36)), "UNKNOWN", IF(G36&lt;=9, "TOP_9", IF(G36&lt;=20, "RANK_10_20", IF(G36&lt;=30, "RANK_21_30", IF(G36&lt;=50, "RANK_31_50", "OTHER")))))</f>
        <v/>
      </c>
      <c r="I36" s="2">
        <f>IF(AND(ISNUMBER(C36), ISNUMBER(D36), D36&gt;0), "VALID", "DATA_REVIEW")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2026-08-27T15:48:42Z</dcterms:created>
  <dcterms:modified xmlns:dcterms="http://purl.org/dc/terms/" xmlns:xsi="http://www.w3.org/2001/XMLSchema-instance" xsi:type="dcterms:W3CDTF">2026-08-27T15:48:42Z</dcterms:modified>
</cp:coreProperties>
</file>